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Sheet1!$A$1:$X$41</definedName>
    <definedName name="FarEdgeDistance">Sheet1!$AA$4</definedName>
    <definedName name="FarEdgeTarget">Sheet1!$AA$3</definedName>
    <definedName name="PremiumFactor">Sheet1!$AA$2</definedName>
  </definedNames>
  <calcPr calcId="114210"/>
</workbook>
</file>

<file path=xl/calcChain.xml><?xml version="1.0" encoding="utf-8"?>
<calcChain xmlns="http://schemas.openxmlformats.org/spreadsheetml/2006/main">
  <c r="Q41" i="1"/>
  <c r="T41"/>
  <c r="Q40"/>
  <c r="T40"/>
  <c r="Q39"/>
  <c r="T39"/>
  <c r="Q38"/>
  <c r="T38"/>
  <c r="Q37"/>
  <c r="T37"/>
  <c r="Q17"/>
  <c r="T17"/>
  <c r="Q36"/>
  <c r="T36"/>
  <c r="Q33"/>
  <c r="T33"/>
  <c r="Q35"/>
  <c r="T35"/>
  <c r="Q34"/>
  <c r="T34"/>
  <c r="Q32"/>
  <c r="T32"/>
  <c r="Q31"/>
  <c r="T31"/>
  <c r="Q30"/>
  <c r="T30"/>
  <c r="Q29"/>
  <c r="T29"/>
  <c r="Q28"/>
  <c r="T28"/>
  <c r="Q27"/>
  <c r="T27"/>
  <c r="Q26"/>
  <c r="T26"/>
  <c r="Q25"/>
  <c r="T25"/>
  <c r="Q10"/>
  <c r="T10"/>
  <c r="Q24"/>
  <c r="T24"/>
  <c r="Q23"/>
  <c r="T23"/>
  <c r="Q22"/>
  <c r="T22"/>
  <c r="Q21"/>
  <c r="T21"/>
  <c r="Q20"/>
  <c r="T20"/>
  <c r="Q19"/>
  <c r="T19"/>
  <c r="Q18"/>
  <c r="T18"/>
  <c r="Q7"/>
  <c r="T7"/>
  <c r="Q16"/>
  <c r="T16"/>
  <c r="Q15"/>
  <c r="T15"/>
  <c r="Q14"/>
  <c r="T14"/>
  <c r="Q13"/>
  <c r="T13"/>
  <c r="Q12"/>
  <c r="T12"/>
  <c r="Q11"/>
  <c r="T11"/>
  <c r="Q9"/>
  <c r="T9"/>
  <c r="Q8"/>
  <c r="T8"/>
  <c r="Q6"/>
  <c r="T6"/>
  <c r="Q5"/>
  <c r="T5"/>
  <c r="Q4"/>
  <c r="T4"/>
  <c r="Q3"/>
  <c r="T3"/>
  <c r="Q2"/>
  <c r="T2"/>
</calcChain>
</file>

<file path=xl/sharedStrings.xml><?xml version="1.0" encoding="utf-8"?>
<sst xmlns="http://schemas.openxmlformats.org/spreadsheetml/2006/main" count="301" uniqueCount="138">
  <si>
    <t>Piece Class</t>
  </si>
  <si>
    <t>English Name</t>
  </si>
  <si>
    <t>Normal Movement</t>
  </si>
  <si>
    <t>Normal Movement Restrictions (As limited by piece)</t>
  </si>
  <si>
    <t>Normal Movement Restrictions (As limited by area)</t>
  </si>
  <si>
    <t>Capture Movement</t>
  </si>
  <si>
    <t>Moves Orthogonally</t>
  </si>
  <si>
    <t>Moves Diagonally</t>
  </si>
  <si>
    <t>Jumps</t>
  </si>
  <si>
    <t>Possible Directions of Movement</t>
  </si>
  <si>
    <t>Maximum Speed</t>
  </si>
  <si>
    <t>Special powers</t>
  </si>
  <si>
    <t>Promotes to</t>
  </si>
  <si>
    <t>Promotion Condition</t>
  </si>
  <si>
    <t>Leader bonus</t>
  </si>
  <si>
    <t>Special-power bonus</t>
  </si>
  <si>
    <t>Limitation devaluation</t>
  </si>
  <si>
    <t>Piece Value</t>
  </si>
  <si>
    <t>Cost to remove movement limitations</t>
  </si>
  <si>
    <t>Cost to remove area limitations</t>
  </si>
  <si>
    <t>Leader</t>
  </si>
  <si>
    <t>Infantry</t>
  </si>
  <si>
    <t>Heavy / Slider</t>
  </si>
  <si>
    <t>Cavalry / Leaper</t>
  </si>
  <si>
    <t>Specialty / Artillery</t>
  </si>
  <si>
    <t>Dragon King (Shogi)</t>
  </si>
  <si>
    <t>General (Xiangqi)</t>
  </si>
  <si>
    <t>Fairy General (custom)</t>
  </si>
  <si>
    <t>King (Western)</t>
  </si>
  <si>
    <t>Silver General (Shogi)</t>
  </si>
  <si>
    <t>General (Janggi)</t>
  </si>
  <si>
    <t>Gold General (Shogi)</t>
  </si>
  <si>
    <t>Amazon</t>
  </si>
  <si>
    <t>Knight rider</t>
  </si>
  <si>
    <t>Queen (Western)</t>
  </si>
  <si>
    <t>Archbishop</t>
  </si>
  <si>
    <t>Chancellor</t>
  </si>
  <si>
    <t>Dragon Horse (Shogi)</t>
  </si>
  <si>
    <t>Dragon Bishop (custom)</t>
  </si>
  <si>
    <t>Grasshopper</t>
  </si>
  <si>
    <t>Giraffe</t>
  </si>
  <si>
    <t>Cannon (Xiangqi)</t>
  </si>
  <si>
    <t>Zebra</t>
  </si>
  <si>
    <t>Cannon (Janggi)</t>
  </si>
  <si>
    <t>Knight</t>
  </si>
  <si>
    <t>Camel</t>
  </si>
  <si>
    <t>Rook (Western)</t>
  </si>
  <si>
    <t>Horse</t>
  </si>
  <si>
    <t>Elephant (Janggi)</t>
  </si>
  <si>
    <t>Bishop (Western)</t>
  </si>
  <si>
    <t>Lance (Shogi)</t>
  </si>
  <si>
    <t>Pawn (Western)</t>
  </si>
  <si>
    <t>Noble (Makruk)</t>
  </si>
  <si>
    <t>Elephant (Alfil)</t>
  </si>
  <si>
    <t>Elephant (Xiangqi)</t>
  </si>
  <si>
    <t>Threeleaper</t>
  </si>
  <si>
    <t>Guard (Janggi)</t>
  </si>
  <si>
    <t>War Engine</t>
  </si>
  <si>
    <t>Minister</t>
  </si>
  <si>
    <t>Soldier (Janggi)</t>
  </si>
  <si>
    <t>Courtier</t>
  </si>
  <si>
    <t>Pawn (Shogi)</t>
  </si>
  <si>
    <t>Pawn (Makruk)</t>
  </si>
  <si>
    <t>Advisor (Xiangqi)</t>
  </si>
  <si>
    <t>Soldier (Xiangqi)</t>
  </si>
  <si>
    <t>Moves any number of squares orthogonally, or leaps 2+1 squares.</t>
  </si>
  <si>
    <t>Moves one square orthogonally.</t>
  </si>
  <si>
    <t>Moves one square orthogonally or diagonally, or leaps 2+1 squares.</t>
  </si>
  <si>
    <t>Moves one square in any orthogonal or diagonal direction.</t>
  </si>
  <si>
    <t>Moves one square diagonally.</t>
  </si>
  <si>
    <t>Moves one square orthogonally or diagonally along marked palace lines.</t>
  </si>
  <si>
    <t>Moves one square orthogonally or diagonally forward.</t>
  </si>
  <si>
    <t>Moves any number of squares orthogonally or diagonally, or leaps 2+1 squares.</t>
  </si>
  <si>
    <t>Repeats 2+1-square leaps in the same direction.</t>
  </si>
  <si>
    <t>Moves any number of squares orthogonally or diagonally.</t>
  </si>
  <si>
    <t>Moves any number of squares diagonally, or moves one square orthogonally.</t>
  </si>
  <si>
    <t>Moves any number of squares diagonally, or leaps 2+1 squares.</t>
  </si>
  <si>
    <t>Moves along any orthogonal or diagonal line, leaping over the first piece encountered and landing immediately beyond it.</t>
  </si>
  <si>
    <t>Leaps 4+1 squares in any orthogonal/diagonal combination.</t>
  </si>
  <si>
    <t>Moves any number of squares orthogonally.</t>
  </si>
  <si>
    <t>Leaps 3+2 squares in any orthogonal/diagonal combination.</t>
  </si>
  <si>
    <t>Moves by leaping over one intervening piece to any square beyond it along an orthogonal line.</t>
  </si>
  <si>
    <t>Leaps 2+1 squares in any orthogonal/diagonal combination.</t>
  </si>
  <si>
    <t>Leaps 3+1 squares in any orthogonal/diagonal combination.</t>
  </si>
  <si>
    <t>Moves along a bent path of three squares: one orthogonal step followed by two diagonal steps.</t>
  </si>
  <si>
    <t>Moves any number of squares diagonally.</t>
  </si>
  <si>
    <t>Moves any number of squares orthogonally forward.</t>
  </si>
  <si>
    <t>Moves one square orthogonally forward.</t>
  </si>
  <si>
    <t>Leaps 2+2 squares diagonally.</t>
  </si>
  <si>
    <t>Leaps three squares orthogonally.</t>
  </si>
  <si>
    <t>Leaps two squares orthogonally.</t>
  </si>
  <si>
    <t>Moves one square orthogonally forward or sideways.</t>
  </si>
  <si>
    <t>Intermediate landing squares along the repeated leap path must be unoccupied; intervening non-landing squares may be occupied.</t>
  </si>
  <si>
    <t>Must jump over the first intervening piece and land on the immediately adjacent square beyond it.</t>
  </si>
  <si>
    <t>The adjacent square along the two-square leg must be unoccupied.</t>
  </si>
  <si>
    <t>The required intermediate squares along the bent path must be unoccupied.</t>
  </si>
  <si>
    <t>An occupied square in its path blocks movement.</t>
  </si>
  <si>
    <t>An occupied square directly ahead blocks forward movement; captures diagonally forward instead.</t>
  </si>
  <si>
    <t>The intermediate square along the diagonal leap must be unoccupied.</t>
  </si>
  <si>
    <t>An occupied destination square blocks movement; cannot move backward.</t>
  </si>
  <si>
    <t>An occupied square directly ahead blocks forward movement.</t>
  </si>
  <si>
    <t>An occupied destination square blocks movement; cannot move sideways until it has crossed the river; cannot move backward.</t>
  </si>
  <si>
    <t>Confined to the 3×3 palace</t>
  </si>
  <si>
    <t>Restricted to one square colour</t>
  </si>
  <si>
    <t>Cannot cross the river</t>
  </si>
  <si>
    <t>Restricted to same-colour square parity</t>
  </si>
  <si>
    <t>Diagonal movement limited to marked palace diagonals</t>
  </si>
  <si>
    <t>Sideways movement unavailable before crossing the river</t>
  </si>
  <si>
    <t>Same</t>
  </si>
  <si>
    <t>Captures by leaping over one intervening piece to occupied square beyond in orthogonal line.</t>
  </si>
  <si>
    <t>Same for ordinary movement; captures one square diagonally forward</t>
  </si>
  <si>
    <t>Yes</t>
  </si>
  <si>
    <t>Yes (in palace diagonals)</t>
  </si>
  <si>
    <t>Flying-general capture</t>
  </si>
  <si>
    <t>Castling</t>
  </si>
  <si>
    <t>Leader Face-Off; Can move diagonally along marked palace lines</t>
  </si>
  <si>
    <t>First move may advance two squares; en passant</t>
  </si>
  <si>
    <t>Can move diagonally along marked palace lines</t>
  </si>
  <si>
    <t>Can move diagonally forward along marked palace lines when in palace</t>
  </si>
  <si>
    <t>Gold General</t>
  </si>
  <si>
    <t>Queen, Rook, Bishop, or Knight</t>
  </si>
  <si>
    <t>When its move starts or ends in the opponent's final three ranks</t>
  </si>
  <si>
    <t>On reaching the last rank</t>
  </si>
  <si>
    <t>On reaching the sixth rank</t>
  </si>
  <si>
    <t>Moves any number of squares orthogonally, or one square diagonally.</t>
  </si>
  <si>
    <t>Restricted to one square in nine (by its leap)</t>
  </si>
  <si>
    <t>Moves one square diagonally, or one square straight forward.</t>
  </si>
  <si>
    <t>Moves one square forward or sideways; in a palace, also diagonally forward along marked palace lines.</t>
  </si>
  <si>
    <t>Must jump over exactly one intervening piece; may neither jump over nor capture a Cannon of either kind.</t>
  </si>
  <si>
    <t>Reach (cells it could reach from d4 on an empty 8×8 board)</t>
  </si>
  <si>
    <t>Promotion premium (gain ÷ distance × PremiumFactor; Infantry at least the far-edge option)</t>
  </si>
  <si>
    <t>Own promotion (best)</t>
  </si>
  <si>
    <t>Distance to own promotion (rows on 8×8)</t>
  </si>
  <si>
    <t>Setting</t>
  </si>
  <si>
    <t>Value</t>
  </si>
  <si>
    <t>PremiumFactor</t>
  </si>
  <si>
    <t>FarEdgeTarget</t>
  </si>
  <si>
    <t>FarEdgeDistance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</si>
</sst>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 wrapText="1" shrinkToFit="1"/>
    </xf>
    <xf numFmtId="0" fontId="3" fillId="0" borderId="0" xfId="0" applyFont="1" applyAlignment="1">
      <alignment vertical="top" wrapText="1" shrinkToFit="1"/>
    </xf>
    <xf numFmtId="0" fontId="3" fillId="0" borderId="1" xfId="0" applyFont="1" applyBorder="1" applyAlignment="1">
      <alignment horizontal="center" vertical="top" wrapText="1" shrinkToFit="1"/>
    </xf>
    <xf numFmtId="0" fontId="4" fillId="0" borderId="0" xfId="0" applyFont="1"/>
    <xf numFmtId="0" fontId="2" fillId="0" borderId="0" xfId="0" applyFont="1" applyAlignment="1">
      <alignment vertical="top" wrapText="1" shrinkToFi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1"/>
  <sheetViews>
    <sheetView tabSelected="1" zoomScale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6" sqref="A6"/>
    </sheetView>
  </sheetViews>
  <sheetFormatPr defaultRowHeight="15"/>
  <cols>
    <col min="1" max="2" width="9.140625" style="6"/>
    <col min="3" max="3" width="24.5703125" customWidth="1"/>
    <col min="12" max="12" width="31.28515625" customWidth="1"/>
  </cols>
  <sheetData>
    <row r="1" spans="1:27" s="4" customFormat="1" ht="112.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129</v>
      </c>
      <c r="Q1" s="3" t="s">
        <v>130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131</v>
      </c>
      <c r="X1" s="3" t="s">
        <v>132</v>
      </c>
      <c r="Z1" s="3" t="s">
        <v>133</v>
      </c>
      <c r="AA1" s="3" t="s">
        <v>134</v>
      </c>
    </row>
    <row r="2" spans="1:27" ht="33.75">
      <c r="A2" s="5" t="s">
        <v>20</v>
      </c>
      <c r="B2" s="5" t="s">
        <v>25</v>
      </c>
      <c r="C2" s="2" t="s">
        <v>124</v>
      </c>
      <c r="D2" s="2"/>
      <c r="E2" s="2"/>
      <c r="F2" s="2" t="s">
        <v>108</v>
      </c>
      <c r="G2" s="2" t="s">
        <v>111</v>
      </c>
      <c r="H2" s="2" t="s">
        <v>111</v>
      </c>
      <c r="I2" s="2"/>
      <c r="J2" s="2">
        <v>8</v>
      </c>
      <c r="K2" s="2">
        <v>7</v>
      </c>
      <c r="L2" s="2"/>
      <c r="M2" s="2"/>
      <c r="N2" s="2"/>
      <c r="O2" s="2">
        <v>60</v>
      </c>
      <c r="P2" s="2">
        <v>18</v>
      </c>
      <c r="Q2" s="2">
        <f t="shared" ref="Q2:Q41" ca="1" si="0">ROUND(MAX(0,IF(W2="",0,(VLOOKUP(W2,$B$2:$T$41,19,FALSE)-(O2+P2+R2+S2))/X2),IF(AND(A2="Infantry",ISERROR(SEARCH("Confined",E2))),(VLOOKUP(FarEdgeTarget,$B$2:$T$41,19,FALSE)-(O2+P2+R2+S2))/FarEdgeDistance,0))*PremiumFactor,0)</f>
        <v>0</v>
      </c>
      <c r="R2" s="2">
        <v>0</v>
      </c>
      <c r="S2" s="2">
        <v>0</v>
      </c>
      <c r="T2" s="2">
        <f t="shared" ref="T2:T41" si="1">O2+P2+Q2+R2+S2</f>
        <v>78</v>
      </c>
      <c r="U2" s="2"/>
      <c r="V2" s="2"/>
      <c r="Z2" s="2" t="s">
        <v>135</v>
      </c>
      <c r="AA2" s="2">
        <v>1</v>
      </c>
    </row>
    <row r="3" spans="1:27" ht="33.75">
      <c r="A3" s="5" t="s">
        <v>20</v>
      </c>
      <c r="B3" s="5" t="s">
        <v>27</v>
      </c>
      <c r="C3" s="2" t="s">
        <v>67</v>
      </c>
      <c r="D3" s="2"/>
      <c r="E3" s="2"/>
      <c r="F3" s="2" t="s">
        <v>108</v>
      </c>
      <c r="G3" s="2" t="s">
        <v>111</v>
      </c>
      <c r="H3" s="2" t="s">
        <v>111</v>
      </c>
      <c r="I3" s="2" t="s">
        <v>111</v>
      </c>
      <c r="J3" s="2">
        <v>8</v>
      </c>
      <c r="K3" s="2">
        <v>3</v>
      </c>
      <c r="L3" s="2"/>
      <c r="M3" s="2"/>
      <c r="N3" s="2"/>
      <c r="O3" s="2">
        <v>60</v>
      </c>
      <c r="P3" s="2">
        <v>16</v>
      </c>
      <c r="Q3" s="2">
        <f t="shared" ca="1" si="0"/>
        <v>0</v>
      </c>
      <c r="R3" s="2">
        <v>0</v>
      </c>
      <c r="S3" s="2">
        <v>0</v>
      </c>
      <c r="T3" s="2">
        <f t="shared" si="1"/>
        <v>76</v>
      </c>
      <c r="U3" s="2"/>
      <c r="V3" s="2"/>
      <c r="Z3" s="2" t="s">
        <v>136</v>
      </c>
      <c r="AA3" s="2" t="s">
        <v>46</v>
      </c>
    </row>
    <row r="4" spans="1:27" ht="22.5">
      <c r="A4" s="5" t="s">
        <v>20</v>
      </c>
      <c r="B4" s="5" t="s">
        <v>28</v>
      </c>
      <c r="C4" s="2" t="s">
        <v>68</v>
      </c>
      <c r="D4" s="2"/>
      <c r="E4" s="2"/>
      <c r="F4" s="2" t="s">
        <v>108</v>
      </c>
      <c r="G4" s="2" t="s">
        <v>111</v>
      </c>
      <c r="H4" s="2" t="s">
        <v>111</v>
      </c>
      <c r="I4" s="2"/>
      <c r="J4" s="2">
        <v>8</v>
      </c>
      <c r="K4" s="2">
        <v>1</v>
      </c>
      <c r="L4" s="2" t="s">
        <v>114</v>
      </c>
      <c r="M4" s="2"/>
      <c r="N4" s="2"/>
      <c r="O4" s="2">
        <v>60</v>
      </c>
      <c r="P4" s="2">
        <v>8</v>
      </c>
      <c r="Q4" s="2">
        <f t="shared" ca="1" si="0"/>
        <v>0</v>
      </c>
      <c r="R4" s="2">
        <v>2</v>
      </c>
      <c r="S4" s="2">
        <v>0</v>
      </c>
      <c r="T4" s="2">
        <f t="shared" si="1"/>
        <v>70</v>
      </c>
      <c r="U4" s="2"/>
      <c r="V4" s="2"/>
      <c r="Z4" s="2" t="s">
        <v>137</v>
      </c>
      <c r="AA4" s="2">
        <v>6</v>
      </c>
    </row>
    <row r="5" spans="1:27" ht="33.75">
      <c r="A5" s="5" t="s">
        <v>20</v>
      </c>
      <c r="B5" s="5" t="s">
        <v>26</v>
      </c>
      <c r="C5" s="2" t="s">
        <v>66</v>
      </c>
      <c r="D5" s="2"/>
      <c r="E5" s="2" t="s">
        <v>102</v>
      </c>
      <c r="F5" s="2" t="s">
        <v>108</v>
      </c>
      <c r="G5" s="2" t="s">
        <v>111</v>
      </c>
      <c r="H5" s="2"/>
      <c r="I5" s="2"/>
      <c r="J5" s="2">
        <v>4</v>
      </c>
      <c r="K5" s="2">
        <v>7</v>
      </c>
      <c r="L5" s="2" t="s">
        <v>113</v>
      </c>
      <c r="M5" s="2"/>
      <c r="N5" s="2"/>
      <c r="O5" s="2">
        <v>60</v>
      </c>
      <c r="P5" s="2">
        <v>4</v>
      </c>
      <c r="Q5" s="2">
        <f t="shared" ca="1" si="0"/>
        <v>0</v>
      </c>
      <c r="R5" s="2">
        <v>7</v>
      </c>
      <c r="S5" s="2">
        <v>-2</v>
      </c>
      <c r="T5" s="2">
        <f t="shared" si="1"/>
        <v>69</v>
      </c>
      <c r="U5" s="2"/>
      <c r="V5" s="2">
        <v>5</v>
      </c>
    </row>
    <row r="6" spans="1:27" ht="33.75">
      <c r="A6" s="5" t="s">
        <v>20</v>
      </c>
      <c r="B6" s="5" t="s">
        <v>30</v>
      </c>
      <c r="C6" s="2" t="s">
        <v>70</v>
      </c>
      <c r="D6" s="2"/>
      <c r="E6" s="2" t="s">
        <v>102</v>
      </c>
      <c r="F6" s="2" t="s">
        <v>108</v>
      </c>
      <c r="G6" s="2" t="s">
        <v>111</v>
      </c>
      <c r="H6" s="2" t="s">
        <v>111</v>
      </c>
      <c r="I6" s="2"/>
      <c r="J6" s="2">
        <v>8</v>
      </c>
      <c r="K6" s="2">
        <v>1</v>
      </c>
      <c r="L6" s="2" t="s">
        <v>115</v>
      </c>
      <c r="M6" s="2"/>
      <c r="N6" s="2"/>
      <c r="O6" s="2">
        <v>60</v>
      </c>
      <c r="P6" s="2">
        <v>8</v>
      </c>
      <c r="Q6" s="2">
        <f t="shared" ca="1" si="0"/>
        <v>0</v>
      </c>
      <c r="R6" s="2">
        <v>2</v>
      </c>
      <c r="S6" s="2">
        <v>-2</v>
      </c>
      <c r="T6" s="2">
        <f t="shared" si="1"/>
        <v>68</v>
      </c>
      <c r="U6" s="2"/>
      <c r="V6" s="2">
        <v>5</v>
      </c>
    </row>
    <row r="7" spans="1:27" ht="33.75">
      <c r="A7" s="5" t="s">
        <v>20</v>
      </c>
      <c r="B7" s="5" t="s">
        <v>31</v>
      </c>
      <c r="C7" s="2" t="s">
        <v>71</v>
      </c>
      <c r="D7" s="2"/>
      <c r="E7" s="2"/>
      <c r="F7" s="2" t="s">
        <v>108</v>
      </c>
      <c r="G7" s="2" t="s">
        <v>111</v>
      </c>
      <c r="H7" s="2" t="s">
        <v>111</v>
      </c>
      <c r="I7" s="2"/>
      <c r="J7" s="2">
        <v>6</v>
      </c>
      <c r="K7" s="2">
        <v>1</v>
      </c>
      <c r="L7" s="2"/>
      <c r="M7" s="2"/>
      <c r="N7" s="2"/>
      <c r="O7" s="2">
        <v>60</v>
      </c>
      <c r="P7" s="2">
        <v>6</v>
      </c>
      <c r="Q7" s="2">
        <f t="shared" ca="1" si="0"/>
        <v>0</v>
      </c>
      <c r="R7" s="2">
        <v>0</v>
      </c>
      <c r="S7" s="2">
        <v>0</v>
      </c>
      <c r="T7" s="2">
        <f t="shared" si="1"/>
        <v>66</v>
      </c>
      <c r="U7" s="2"/>
      <c r="V7" s="2"/>
    </row>
    <row r="8" spans="1:27" ht="78.75">
      <c r="A8" s="5" t="s">
        <v>20</v>
      </c>
      <c r="B8" s="5" t="s">
        <v>29</v>
      </c>
      <c r="C8" s="2" t="s">
        <v>126</v>
      </c>
      <c r="D8" s="2"/>
      <c r="E8" s="2"/>
      <c r="F8" s="2" t="s">
        <v>108</v>
      </c>
      <c r="G8" s="2" t="s">
        <v>111</v>
      </c>
      <c r="H8" s="2" t="s">
        <v>111</v>
      </c>
      <c r="I8" s="2"/>
      <c r="J8" s="2">
        <v>5</v>
      </c>
      <c r="K8" s="2">
        <v>1</v>
      </c>
      <c r="L8" s="2"/>
      <c r="M8" s="2" t="s">
        <v>119</v>
      </c>
      <c r="N8" s="2" t="s">
        <v>121</v>
      </c>
      <c r="O8" s="2">
        <v>60</v>
      </c>
      <c r="P8" s="2">
        <v>5</v>
      </c>
      <c r="Q8" s="2">
        <f t="shared" ca="1" si="0"/>
        <v>0</v>
      </c>
      <c r="R8" s="2">
        <v>0</v>
      </c>
      <c r="S8" s="2">
        <v>0</v>
      </c>
      <c r="T8" s="2">
        <f t="shared" si="1"/>
        <v>65</v>
      </c>
      <c r="U8" s="2"/>
      <c r="V8" s="2"/>
      <c r="W8" s="2" t="s">
        <v>31</v>
      </c>
      <c r="X8" s="2">
        <v>5</v>
      </c>
    </row>
    <row r="9" spans="1:27" ht="33.75">
      <c r="A9" s="5" t="s">
        <v>22</v>
      </c>
      <c r="B9" s="5" t="s">
        <v>32</v>
      </c>
      <c r="C9" s="2" t="s">
        <v>72</v>
      </c>
      <c r="D9" s="2"/>
      <c r="E9" s="2"/>
      <c r="F9" s="2" t="s">
        <v>108</v>
      </c>
      <c r="G9" s="2" t="s">
        <v>111</v>
      </c>
      <c r="H9" s="2" t="s">
        <v>111</v>
      </c>
      <c r="I9" s="2" t="s">
        <v>111</v>
      </c>
      <c r="J9" s="2">
        <v>8</v>
      </c>
      <c r="K9" s="2">
        <v>7</v>
      </c>
      <c r="L9" s="2"/>
      <c r="M9" s="2"/>
      <c r="N9" s="2"/>
      <c r="O9" s="2">
        <v>0</v>
      </c>
      <c r="P9" s="2">
        <v>35</v>
      </c>
      <c r="Q9" s="2">
        <f t="shared" ca="1" si="0"/>
        <v>0</v>
      </c>
      <c r="R9" s="2">
        <v>2</v>
      </c>
      <c r="S9" s="2">
        <v>0</v>
      </c>
      <c r="T9" s="2">
        <f t="shared" si="1"/>
        <v>37</v>
      </c>
      <c r="U9" s="2"/>
      <c r="V9" s="2"/>
    </row>
    <row r="10" spans="1:27" ht="22.5">
      <c r="A10" s="5" t="s">
        <v>22</v>
      </c>
      <c r="B10" s="5" t="s">
        <v>34</v>
      </c>
      <c r="C10" s="2" t="s">
        <v>74</v>
      </c>
      <c r="D10" s="2"/>
      <c r="E10" s="2"/>
      <c r="F10" s="2" t="s">
        <v>108</v>
      </c>
      <c r="G10" s="2" t="s">
        <v>111</v>
      </c>
      <c r="H10" s="2" t="s">
        <v>111</v>
      </c>
      <c r="I10" s="2"/>
      <c r="J10" s="2">
        <v>8</v>
      </c>
      <c r="K10" s="2">
        <v>7</v>
      </c>
      <c r="L10" s="2"/>
      <c r="M10" s="2"/>
      <c r="N10" s="2"/>
      <c r="O10" s="2">
        <v>0</v>
      </c>
      <c r="P10" s="2">
        <v>27</v>
      </c>
      <c r="Q10" s="2">
        <f t="shared" ca="1" si="0"/>
        <v>0</v>
      </c>
      <c r="R10" s="2">
        <v>0</v>
      </c>
      <c r="S10" s="2">
        <v>0</v>
      </c>
      <c r="T10" s="2">
        <f t="shared" si="1"/>
        <v>27</v>
      </c>
      <c r="U10" s="2"/>
      <c r="V10" s="2"/>
    </row>
    <row r="11" spans="1:27" ht="33.75">
      <c r="A11" s="5" t="s">
        <v>22</v>
      </c>
      <c r="B11" s="5" t="s">
        <v>36</v>
      </c>
      <c r="C11" s="2" t="s">
        <v>65</v>
      </c>
      <c r="D11" s="2"/>
      <c r="E11" s="2"/>
      <c r="F11" s="2" t="s">
        <v>108</v>
      </c>
      <c r="G11" s="2" t="s">
        <v>111</v>
      </c>
      <c r="H11" s="2"/>
      <c r="I11" s="2" t="s">
        <v>111</v>
      </c>
      <c r="J11" s="2">
        <v>8</v>
      </c>
      <c r="K11" s="2">
        <v>7</v>
      </c>
      <c r="L11" s="2"/>
      <c r="M11" s="2"/>
      <c r="N11" s="2"/>
      <c r="O11" s="2">
        <v>0</v>
      </c>
      <c r="P11" s="2">
        <v>22</v>
      </c>
      <c r="Q11" s="2">
        <f t="shared" ca="1" si="0"/>
        <v>0</v>
      </c>
      <c r="R11" s="2">
        <v>0</v>
      </c>
      <c r="S11" s="2">
        <v>0</v>
      </c>
      <c r="T11" s="2">
        <f t="shared" si="1"/>
        <v>22</v>
      </c>
      <c r="U11" s="2"/>
      <c r="V11" s="2"/>
    </row>
    <row r="12" spans="1:27" ht="22.5">
      <c r="A12" s="5" t="s">
        <v>22</v>
      </c>
      <c r="B12" s="5" t="s">
        <v>35</v>
      </c>
      <c r="C12" s="2" t="s">
        <v>76</v>
      </c>
      <c r="D12" s="2"/>
      <c r="E12" s="2"/>
      <c r="F12" s="2" t="s">
        <v>108</v>
      </c>
      <c r="G12" s="2"/>
      <c r="H12" s="2" t="s">
        <v>111</v>
      </c>
      <c r="I12" s="2" t="s">
        <v>111</v>
      </c>
      <c r="J12" s="2">
        <v>8</v>
      </c>
      <c r="K12" s="2">
        <v>7</v>
      </c>
      <c r="L12" s="2"/>
      <c r="M12" s="2"/>
      <c r="N12" s="2"/>
      <c r="O12" s="2">
        <v>0</v>
      </c>
      <c r="P12" s="2">
        <v>21</v>
      </c>
      <c r="Q12" s="2">
        <f t="shared" ca="1" si="0"/>
        <v>0</v>
      </c>
      <c r="R12" s="2">
        <v>0</v>
      </c>
      <c r="S12" s="2">
        <v>0</v>
      </c>
      <c r="T12" s="2">
        <f t="shared" si="1"/>
        <v>21</v>
      </c>
      <c r="U12" s="2"/>
      <c r="V12" s="2"/>
    </row>
    <row r="13" spans="1:27" ht="33.75">
      <c r="A13" s="5" t="s">
        <v>22</v>
      </c>
      <c r="B13" s="5" t="s">
        <v>38</v>
      </c>
      <c r="C13" s="2" t="s">
        <v>76</v>
      </c>
      <c r="D13" s="2"/>
      <c r="E13" s="2"/>
      <c r="F13" s="2" t="s">
        <v>108</v>
      </c>
      <c r="G13" s="2"/>
      <c r="H13" s="2" t="s">
        <v>111</v>
      </c>
      <c r="I13" s="2" t="s">
        <v>111</v>
      </c>
      <c r="J13" s="2">
        <v>8</v>
      </c>
      <c r="K13" s="2">
        <v>7</v>
      </c>
      <c r="L13" s="2"/>
      <c r="M13" s="2"/>
      <c r="N13" s="2"/>
      <c r="O13" s="2">
        <v>0</v>
      </c>
      <c r="P13" s="2">
        <v>21</v>
      </c>
      <c r="Q13" s="2">
        <f t="shared" ca="1" si="0"/>
        <v>0</v>
      </c>
      <c r="R13" s="2">
        <v>0</v>
      </c>
      <c r="S13" s="2">
        <v>0</v>
      </c>
      <c r="T13" s="2">
        <f t="shared" si="1"/>
        <v>21</v>
      </c>
      <c r="U13" s="2"/>
      <c r="V13" s="2"/>
    </row>
    <row r="14" spans="1:27" ht="33.75">
      <c r="A14" s="5" t="s">
        <v>22</v>
      </c>
      <c r="B14" s="5" t="s">
        <v>37</v>
      </c>
      <c r="C14" s="2" t="s">
        <v>75</v>
      </c>
      <c r="D14" s="2"/>
      <c r="E14" s="2"/>
      <c r="F14" s="2" t="s">
        <v>108</v>
      </c>
      <c r="G14" s="2" t="s">
        <v>111</v>
      </c>
      <c r="H14" s="2" t="s">
        <v>111</v>
      </c>
      <c r="I14" s="2"/>
      <c r="J14" s="2">
        <v>8</v>
      </c>
      <c r="K14" s="2">
        <v>7</v>
      </c>
      <c r="L14" s="2"/>
      <c r="M14" s="2"/>
      <c r="N14" s="2"/>
      <c r="O14" s="2">
        <v>0</v>
      </c>
      <c r="P14" s="2">
        <v>17</v>
      </c>
      <c r="Q14" s="2">
        <f t="shared" ca="1" si="0"/>
        <v>0</v>
      </c>
      <c r="R14" s="2">
        <v>0</v>
      </c>
      <c r="S14" s="2">
        <v>0</v>
      </c>
      <c r="T14" s="2">
        <f t="shared" si="1"/>
        <v>17</v>
      </c>
      <c r="U14" s="2"/>
      <c r="V14" s="2"/>
    </row>
    <row r="15" spans="1:27" ht="78.75">
      <c r="A15" s="5" t="s">
        <v>21</v>
      </c>
      <c r="B15" s="5" t="s">
        <v>61</v>
      </c>
      <c r="C15" s="2" t="s">
        <v>87</v>
      </c>
      <c r="D15" s="2" t="s">
        <v>100</v>
      </c>
      <c r="E15" s="2"/>
      <c r="F15" s="2" t="s">
        <v>108</v>
      </c>
      <c r="G15" s="2" t="s">
        <v>111</v>
      </c>
      <c r="H15" s="2"/>
      <c r="I15" s="2"/>
      <c r="J15" s="2">
        <v>1</v>
      </c>
      <c r="K15" s="2">
        <v>1</v>
      </c>
      <c r="L15" s="2"/>
      <c r="M15" s="2" t="s">
        <v>119</v>
      </c>
      <c r="N15" s="2" t="s">
        <v>121</v>
      </c>
      <c r="O15" s="2">
        <v>0</v>
      </c>
      <c r="P15" s="2">
        <v>1</v>
      </c>
      <c r="Q15" s="2">
        <f t="shared" ca="1" si="0"/>
        <v>17</v>
      </c>
      <c r="R15" s="2">
        <v>0</v>
      </c>
      <c r="S15" s="2">
        <v>-1</v>
      </c>
      <c r="T15" s="2">
        <f t="shared" si="1"/>
        <v>17</v>
      </c>
      <c r="U15" s="2">
        <v>2</v>
      </c>
      <c r="V15" s="2"/>
      <c r="W15" s="2" t="s">
        <v>31</v>
      </c>
      <c r="X15" s="2">
        <v>4</v>
      </c>
    </row>
    <row r="16" spans="1:27" ht="78.75">
      <c r="A16" s="5" t="s">
        <v>22</v>
      </c>
      <c r="B16" s="5" t="s">
        <v>50</v>
      </c>
      <c r="C16" s="2" t="s">
        <v>86</v>
      </c>
      <c r="D16" s="2" t="s">
        <v>96</v>
      </c>
      <c r="E16" s="2"/>
      <c r="F16" s="2" t="s">
        <v>108</v>
      </c>
      <c r="G16" s="2" t="s">
        <v>111</v>
      </c>
      <c r="H16" s="2"/>
      <c r="I16" s="2"/>
      <c r="J16" s="2">
        <v>1</v>
      </c>
      <c r="K16" s="2">
        <v>7</v>
      </c>
      <c r="L16" s="2"/>
      <c r="M16" s="2" t="s">
        <v>119</v>
      </c>
      <c r="N16" s="2" t="s">
        <v>121</v>
      </c>
      <c r="O16" s="2">
        <v>0</v>
      </c>
      <c r="P16" s="2">
        <v>4</v>
      </c>
      <c r="Q16" s="2">
        <f t="shared" ca="1" si="0"/>
        <v>13</v>
      </c>
      <c r="R16" s="2">
        <v>0</v>
      </c>
      <c r="S16" s="2">
        <v>-1</v>
      </c>
      <c r="T16" s="2">
        <f t="shared" si="1"/>
        <v>16</v>
      </c>
      <c r="U16" s="2">
        <v>2</v>
      </c>
      <c r="V16" s="2"/>
      <c r="W16" s="2" t="s">
        <v>31</v>
      </c>
      <c r="X16" s="2">
        <v>5</v>
      </c>
    </row>
    <row r="17" spans="1:24" ht="22.5">
      <c r="A17" s="5" t="s">
        <v>22</v>
      </c>
      <c r="B17" s="5" t="s">
        <v>46</v>
      </c>
      <c r="C17" s="2" t="s">
        <v>79</v>
      </c>
      <c r="D17" s="2"/>
      <c r="E17" s="2"/>
      <c r="F17" s="2" t="s">
        <v>108</v>
      </c>
      <c r="G17" s="2" t="s">
        <v>111</v>
      </c>
      <c r="H17" s="2"/>
      <c r="I17" s="2"/>
      <c r="J17" s="2">
        <v>4</v>
      </c>
      <c r="K17" s="2">
        <v>7</v>
      </c>
      <c r="L17" s="2"/>
      <c r="M17" s="2"/>
      <c r="N17" s="2"/>
      <c r="O17" s="2">
        <v>0</v>
      </c>
      <c r="P17" s="2">
        <v>14</v>
      </c>
      <c r="Q17" s="2">
        <f t="shared" ca="1" si="0"/>
        <v>0</v>
      </c>
      <c r="R17" s="2">
        <v>0</v>
      </c>
      <c r="S17" s="2">
        <v>0</v>
      </c>
      <c r="T17" s="2">
        <f t="shared" si="1"/>
        <v>14</v>
      </c>
      <c r="U17" s="2"/>
      <c r="V17" s="2"/>
    </row>
    <row r="18" spans="1:24" ht="157.5">
      <c r="A18" s="5" t="s">
        <v>23</v>
      </c>
      <c r="B18" s="5" t="s">
        <v>33</v>
      </c>
      <c r="C18" s="2" t="s">
        <v>73</v>
      </c>
      <c r="D18" s="2" t="s">
        <v>92</v>
      </c>
      <c r="E18" s="2"/>
      <c r="F18" s="2" t="s">
        <v>108</v>
      </c>
      <c r="G18" s="2"/>
      <c r="H18" s="2"/>
      <c r="I18" s="2" t="s">
        <v>111</v>
      </c>
      <c r="J18" s="2">
        <v>8</v>
      </c>
      <c r="K18" s="2">
        <v>8</v>
      </c>
      <c r="L18" s="2"/>
      <c r="M18" s="2"/>
      <c r="N18" s="2"/>
      <c r="O18" s="2">
        <v>0</v>
      </c>
      <c r="P18" s="2">
        <v>12</v>
      </c>
      <c r="Q18" s="2">
        <f t="shared" ca="1" si="0"/>
        <v>0</v>
      </c>
      <c r="R18" s="2">
        <v>0</v>
      </c>
      <c r="S18" s="2">
        <v>0</v>
      </c>
      <c r="T18" s="2">
        <f t="shared" si="1"/>
        <v>12</v>
      </c>
      <c r="U18" s="2">
        <v>3</v>
      </c>
      <c r="V18" s="2"/>
    </row>
    <row r="19" spans="1:24" ht="45">
      <c r="A19" s="5" t="s">
        <v>22</v>
      </c>
      <c r="B19" s="5" t="s">
        <v>49</v>
      </c>
      <c r="C19" s="2" t="s">
        <v>85</v>
      </c>
      <c r="D19" s="2"/>
      <c r="E19" s="2" t="s">
        <v>103</v>
      </c>
      <c r="F19" s="2" t="s">
        <v>108</v>
      </c>
      <c r="G19" s="2"/>
      <c r="H19" s="2" t="s">
        <v>111</v>
      </c>
      <c r="I19" s="2"/>
      <c r="J19" s="2">
        <v>4</v>
      </c>
      <c r="K19" s="2">
        <v>7</v>
      </c>
      <c r="L19" s="2"/>
      <c r="M19" s="2"/>
      <c r="N19" s="2"/>
      <c r="O19" s="2">
        <v>0</v>
      </c>
      <c r="P19" s="2">
        <v>13</v>
      </c>
      <c r="Q19" s="2">
        <f t="shared" ca="1" si="0"/>
        <v>0</v>
      </c>
      <c r="R19" s="2">
        <v>0</v>
      </c>
      <c r="S19" s="2">
        <v>-1</v>
      </c>
      <c r="T19" s="2">
        <f t="shared" si="1"/>
        <v>12</v>
      </c>
      <c r="U19" s="2"/>
      <c r="V19" s="2"/>
    </row>
    <row r="20" spans="1:24" ht="112.5">
      <c r="A20" s="5" t="s">
        <v>24</v>
      </c>
      <c r="B20" s="5" t="s">
        <v>41</v>
      </c>
      <c r="C20" s="2" t="s">
        <v>79</v>
      </c>
      <c r="D20" s="2"/>
      <c r="E20" s="2"/>
      <c r="F20" s="2" t="s">
        <v>109</v>
      </c>
      <c r="G20" s="2" t="s">
        <v>111</v>
      </c>
      <c r="H20" s="2"/>
      <c r="I20" s="2"/>
      <c r="J20" s="2">
        <v>4</v>
      </c>
      <c r="K20" s="2">
        <v>7</v>
      </c>
      <c r="L20" s="2"/>
      <c r="M20" s="2"/>
      <c r="N20" s="2"/>
      <c r="O20" s="2">
        <v>0</v>
      </c>
      <c r="P20" s="2">
        <v>14</v>
      </c>
      <c r="Q20" s="2">
        <f t="shared" ca="1" si="0"/>
        <v>0</v>
      </c>
      <c r="R20" s="2">
        <v>0</v>
      </c>
      <c r="S20" s="2">
        <v>-4</v>
      </c>
      <c r="T20" s="2">
        <f t="shared" si="1"/>
        <v>10</v>
      </c>
      <c r="U20" s="2"/>
      <c r="V20" s="2"/>
    </row>
    <row r="21" spans="1:24" ht="112.5">
      <c r="A21" s="5" t="s">
        <v>24</v>
      </c>
      <c r="B21" s="5" t="s">
        <v>43</v>
      </c>
      <c r="C21" s="2" t="s">
        <v>81</v>
      </c>
      <c r="D21" s="2" t="s">
        <v>128</v>
      </c>
      <c r="E21" s="2"/>
      <c r="F21" s="2" t="s">
        <v>108</v>
      </c>
      <c r="G21" s="2" t="s">
        <v>111</v>
      </c>
      <c r="H21" s="2"/>
      <c r="I21" s="2" t="s">
        <v>111</v>
      </c>
      <c r="J21" s="2">
        <v>4</v>
      </c>
      <c r="K21" s="2">
        <v>7</v>
      </c>
      <c r="L21" s="2"/>
      <c r="M21" s="2"/>
      <c r="N21" s="2"/>
      <c r="O21" s="2">
        <v>0</v>
      </c>
      <c r="P21" s="2">
        <v>10</v>
      </c>
      <c r="Q21" s="2">
        <f t="shared" ca="1" si="0"/>
        <v>0</v>
      </c>
      <c r="R21" s="2">
        <v>0</v>
      </c>
      <c r="S21" s="2">
        <v>-2</v>
      </c>
      <c r="T21" s="2">
        <f t="shared" si="1"/>
        <v>8</v>
      </c>
      <c r="U21" s="2">
        <v>3</v>
      </c>
      <c r="V21" s="2"/>
    </row>
    <row r="22" spans="1:24" ht="22.5">
      <c r="A22" s="5" t="s">
        <v>23</v>
      </c>
      <c r="B22" s="5" t="s">
        <v>42</v>
      </c>
      <c r="C22" s="2" t="s">
        <v>80</v>
      </c>
      <c r="D22" s="2"/>
      <c r="E22" s="2"/>
      <c r="F22" s="2" t="s">
        <v>108</v>
      </c>
      <c r="G22" s="2"/>
      <c r="H22" s="2"/>
      <c r="I22" s="2" t="s">
        <v>111</v>
      </c>
      <c r="J22" s="2">
        <v>8</v>
      </c>
      <c r="K22" s="2">
        <v>5</v>
      </c>
      <c r="L22" s="2"/>
      <c r="M22" s="2"/>
      <c r="N22" s="2"/>
      <c r="O22" s="2">
        <v>0</v>
      </c>
      <c r="P22" s="2">
        <v>8</v>
      </c>
      <c r="Q22" s="2">
        <f t="shared" ca="1" si="0"/>
        <v>0</v>
      </c>
      <c r="R22" s="2">
        <v>0</v>
      </c>
      <c r="S22" s="2">
        <v>0</v>
      </c>
      <c r="T22" s="2">
        <f t="shared" si="1"/>
        <v>8</v>
      </c>
      <c r="U22" s="2"/>
      <c r="V22" s="2"/>
    </row>
    <row r="23" spans="1:24" ht="22.5">
      <c r="A23" s="5" t="s">
        <v>23</v>
      </c>
      <c r="B23" s="5" t="s">
        <v>44</v>
      </c>
      <c r="C23" s="2" t="s">
        <v>82</v>
      </c>
      <c r="D23" s="2"/>
      <c r="E23" s="2"/>
      <c r="F23" s="2" t="s">
        <v>108</v>
      </c>
      <c r="G23" s="2"/>
      <c r="H23" s="2"/>
      <c r="I23" s="2" t="s">
        <v>111</v>
      </c>
      <c r="J23" s="2">
        <v>8</v>
      </c>
      <c r="K23" s="2">
        <v>3</v>
      </c>
      <c r="L23" s="2"/>
      <c r="M23" s="2"/>
      <c r="N23" s="2"/>
      <c r="O23" s="2">
        <v>0</v>
      </c>
      <c r="P23" s="2">
        <v>8</v>
      </c>
      <c r="Q23" s="2">
        <f t="shared" ca="1" si="0"/>
        <v>0</v>
      </c>
      <c r="R23" s="2">
        <v>0</v>
      </c>
      <c r="S23" s="2">
        <v>0</v>
      </c>
      <c r="T23" s="2">
        <f t="shared" si="1"/>
        <v>8</v>
      </c>
      <c r="U23" s="2"/>
      <c r="V23" s="2"/>
    </row>
    <row r="24" spans="1:24" ht="123.75">
      <c r="A24" s="5" t="s">
        <v>21</v>
      </c>
      <c r="B24" s="5" t="s">
        <v>51</v>
      </c>
      <c r="C24" s="2" t="s">
        <v>87</v>
      </c>
      <c r="D24" s="2" t="s">
        <v>97</v>
      </c>
      <c r="E24" s="2"/>
      <c r="F24" s="2" t="s">
        <v>110</v>
      </c>
      <c r="G24" s="2" t="s">
        <v>111</v>
      </c>
      <c r="H24" s="2"/>
      <c r="I24" s="2"/>
      <c r="J24" s="2">
        <v>3</v>
      </c>
      <c r="K24" s="2">
        <v>1</v>
      </c>
      <c r="L24" s="2" t="s">
        <v>116</v>
      </c>
      <c r="M24" s="2" t="s">
        <v>120</v>
      </c>
      <c r="N24" s="2" t="s">
        <v>122</v>
      </c>
      <c r="O24" s="2">
        <v>0</v>
      </c>
      <c r="P24" s="2">
        <v>3</v>
      </c>
      <c r="Q24" s="2">
        <f t="shared" ca="1" si="0"/>
        <v>4</v>
      </c>
      <c r="R24" s="2">
        <v>1</v>
      </c>
      <c r="S24" s="2">
        <v>-1</v>
      </c>
      <c r="T24" s="2">
        <f t="shared" si="1"/>
        <v>7</v>
      </c>
      <c r="U24" s="2">
        <v>2</v>
      </c>
      <c r="V24" s="2"/>
      <c r="W24" s="2" t="s">
        <v>34</v>
      </c>
      <c r="X24" s="2">
        <v>6</v>
      </c>
    </row>
    <row r="25" spans="1:24" ht="112.5">
      <c r="A25" s="5" t="s">
        <v>24</v>
      </c>
      <c r="B25" s="5" t="s">
        <v>39</v>
      </c>
      <c r="C25" s="2" t="s">
        <v>77</v>
      </c>
      <c r="D25" s="2" t="s">
        <v>93</v>
      </c>
      <c r="E25" s="2"/>
      <c r="F25" s="2" t="s">
        <v>108</v>
      </c>
      <c r="G25" s="2" t="s">
        <v>111</v>
      </c>
      <c r="H25" s="2" t="s">
        <v>111</v>
      </c>
      <c r="I25" s="2" t="s">
        <v>111</v>
      </c>
      <c r="J25" s="2">
        <v>8</v>
      </c>
      <c r="K25" s="2">
        <v>7</v>
      </c>
      <c r="L25" s="2"/>
      <c r="M25" s="2"/>
      <c r="N25" s="2"/>
      <c r="O25" s="2">
        <v>0</v>
      </c>
      <c r="P25" s="2">
        <v>8</v>
      </c>
      <c r="Q25" s="2">
        <f t="shared" ca="1" si="0"/>
        <v>0</v>
      </c>
      <c r="R25" s="2">
        <v>0</v>
      </c>
      <c r="S25" s="2">
        <v>-1</v>
      </c>
      <c r="T25" s="2">
        <f t="shared" si="1"/>
        <v>7</v>
      </c>
      <c r="U25" s="2">
        <v>3</v>
      </c>
      <c r="V25" s="2"/>
    </row>
    <row r="26" spans="1:24" ht="45">
      <c r="A26" s="5" t="s">
        <v>23</v>
      </c>
      <c r="B26" s="5" t="s">
        <v>45</v>
      </c>
      <c r="C26" s="2" t="s">
        <v>83</v>
      </c>
      <c r="D26" s="2"/>
      <c r="E26" s="2" t="s">
        <v>103</v>
      </c>
      <c r="F26" s="2" t="s">
        <v>108</v>
      </c>
      <c r="G26" s="2"/>
      <c r="H26" s="2"/>
      <c r="I26" s="2" t="s">
        <v>111</v>
      </c>
      <c r="J26" s="2">
        <v>8</v>
      </c>
      <c r="K26" s="2">
        <v>4</v>
      </c>
      <c r="L26" s="2"/>
      <c r="M26" s="2"/>
      <c r="N26" s="2"/>
      <c r="O26" s="2">
        <v>0</v>
      </c>
      <c r="P26" s="2">
        <v>8</v>
      </c>
      <c r="Q26" s="2">
        <f t="shared" ca="1" si="0"/>
        <v>0</v>
      </c>
      <c r="R26" s="2">
        <v>0</v>
      </c>
      <c r="S26" s="2">
        <v>-1</v>
      </c>
      <c r="T26" s="2">
        <f t="shared" si="1"/>
        <v>7</v>
      </c>
      <c r="U26" s="2"/>
      <c r="V26" s="2"/>
    </row>
    <row r="27" spans="1:24" ht="90">
      <c r="A27" s="5" t="s">
        <v>23</v>
      </c>
      <c r="B27" s="5" t="s">
        <v>47</v>
      </c>
      <c r="C27" s="2" t="s">
        <v>82</v>
      </c>
      <c r="D27" s="2" t="s">
        <v>94</v>
      </c>
      <c r="E27" s="2"/>
      <c r="F27" s="2" t="s">
        <v>108</v>
      </c>
      <c r="G27" s="2"/>
      <c r="H27" s="2"/>
      <c r="I27" s="2" t="s">
        <v>111</v>
      </c>
      <c r="J27" s="2">
        <v>8</v>
      </c>
      <c r="K27" s="2">
        <v>3</v>
      </c>
      <c r="L27" s="2"/>
      <c r="M27" s="2"/>
      <c r="N27" s="2"/>
      <c r="O27" s="2">
        <v>0</v>
      </c>
      <c r="P27" s="2">
        <v>8</v>
      </c>
      <c r="Q27" s="2">
        <f t="shared" ca="1" si="0"/>
        <v>0</v>
      </c>
      <c r="R27" s="2">
        <v>0</v>
      </c>
      <c r="S27" s="2">
        <v>-1</v>
      </c>
      <c r="T27" s="2">
        <f t="shared" si="1"/>
        <v>7</v>
      </c>
      <c r="U27" s="2">
        <v>2</v>
      </c>
      <c r="V27" s="2"/>
    </row>
    <row r="28" spans="1:24" ht="101.25">
      <c r="A28" s="5" t="s">
        <v>23</v>
      </c>
      <c r="B28" s="5" t="s">
        <v>48</v>
      </c>
      <c r="C28" s="2" t="s">
        <v>84</v>
      </c>
      <c r="D28" s="2" t="s">
        <v>95</v>
      </c>
      <c r="E28" s="2"/>
      <c r="F28" s="2" t="s">
        <v>108</v>
      </c>
      <c r="G28" s="2" t="s">
        <v>111</v>
      </c>
      <c r="H28" s="2" t="s">
        <v>111</v>
      </c>
      <c r="I28" s="2"/>
      <c r="J28" s="2">
        <v>8</v>
      </c>
      <c r="K28" s="2">
        <v>3</v>
      </c>
      <c r="L28" s="2"/>
      <c r="M28" s="2"/>
      <c r="N28" s="2"/>
      <c r="O28" s="2">
        <v>0</v>
      </c>
      <c r="P28" s="2">
        <v>8</v>
      </c>
      <c r="Q28" s="2">
        <f t="shared" ca="1" si="0"/>
        <v>0</v>
      </c>
      <c r="R28" s="2">
        <v>0</v>
      </c>
      <c r="S28" s="2">
        <v>-1</v>
      </c>
      <c r="T28" s="2">
        <f t="shared" si="1"/>
        <v>7</v>
      </c>
      <c r="U28" s="2">
        <v>2</v>
      </c>
      <c r="V28" s="2"/>
    </row>
    <row r="29" spans="1:24" ht="33.75">
      <c r="A29" s="5" t="s">
        <v>21</v>
      </c>
      <c r="B29" s="5" t="s">
        <v>56</v>
      </c>
      <c r="C29" s="2" t="s">
        <v>70</v>
      </c>
      <c r="D29" s="2"/>
      <c r="E29" s="2" t="s">
        <v>102</v>
      </c>
      <c r="F29" s="2" t="s">
        <v>108</v>
      </c>
      <c r="G29" s="2" t="s">
        <v>111</v>
      </c>
      <c r="H29" s="2" t="s">
        <v>111</v>
      </c>
      <c r="I29" s="2"/>
      <c r="J29" s="2">
        <v>8</v>
      </c>
      <c r="K29" s="2">
        <v>1</v>
      </c>
      <c r="L29" s="2" t="s">
        <v>117</v>
      </c>
      <c r="M29" s="2"/>
      <c r="N29" s="2"/>
      <c r="O29" s="2">
        <v>0</v>
      </c>
      <c r="P29" s="2">
        <v>8</v>
      </c>
      <c r="Q29" s="2">
        <f t="shared" ca="1" si="0"/>
        <v>0</v>
      </c>
      <c r="R29" s="2">
        <v>1</v>
      </c>
      <c r="S29" s="2">
        <v>-2</v>
      </c>
      <c r="T29" s="2">
        <f t="shared" si="1"/>
        <v>7</v>
      </c>
      <c r="U29" s="2"/>
      <c r="V29" s="2">
        <v>5</v>
      </c>
    </row>
    <row r="30" spans="1:24" ht="22.5">
      <c r="A30" s="5" t="s">
        <v>21</v>
      </c>
      <c r="B30" s="5" t="s">
        <v>52</v>
      </c>
      <c r="C30" s="2" t="s">
        <v>126</v>
      </c>
      <c r="D30" s="2"/>
      <c r="E30" s="2"/>
      <c r="F30" s="2" t="s">
        <v>108</v>
      </c>
      <c r="G30" s="2" t="s">
        <v>111</v>
      </c>
      <c r="H30" s="2" t="s">
        <v>111</v>
      </c>
      <c r="I30" s="2"/>
      <c r="J30" s="2">
        <v>5</v>
      </c>
      <c r="K30" s="2">
        <v>1</v>
      </c>
      <c r="L30" s="2"/>
      <c r="M30" s="2"/>
      <c r="N30" s="2"/>
      <c r="O30" s="2">
        <v>0</v>
      </c>
      <c r="P30" s="2">
        <v>5</v>
      </c>
      <c r="Q30" s="2">
        <f t="shared" ca="1" si="0"/>
        <v>2</v>
      </c>
      <c r="R30" s="2">
        <v>0</v>
      </c>
      <c r="S30" s="2">
        <v>0</v>
      </c>
      <c r="T30" s="2">
        <f t="shared" si="1"/>
        <v>7</v>
      </c>
      <c r="U30" s="2"/>
      <c r="V30" s="2"/>
    </row>
    <row r="31" spans="1:24" ht="90">
      <c r="A31" s="5" t="s">
        <v>21</v>
      </c>
      <c r="B31" s="5" t="s">
        <v>59</v>
      </c>
      <c r="C31" s="2" t="s">
        <v>127</v>
      </c>
      <c r="D31" s="2" t="s">
        <v>99</v>
      </c>
      <c r="E31" s="2" t="s">
        <v>106</v>
      </c>
      <c r="F31" s="2" t="s">
        <v>108</v>
      </c>
      <c r="G31" s="2" t="s">
        <v>111</v>
      </c>
      <c r="H31" s="2" t="s">
        <v>112</v>
      </c>
      <c r="I31" s="2"/>
      <c r="J31" s="2">
        <v>5</v>
      </c>
      <c r="K31" s="2">
        <v>1</v>
      </c>
      <c r="L31" s="2" t="s">
        <v>118</v>
      </c>
      <c r="M31" s="2"/>
      <c r="N31" s="2"/>
      <c r="O31" s="2">
        <v>0</v>
      </c>
      <c r="P31" s="2">
        <v>5</v>
      </c>
      <c r="Q31" s="2">
        <f t="shared" ca="1" si="0"/>
        <v>2</v>
      </c>
      <c r="R31" s="2">
        <v>1</v>
      </c>
      <c r="S31" s="2">
        <v>-1</v>
      </c>
      <c r="T31" s="2">
        <f t="shared" si="1"/>
        <v>7</v>
      </c>
      <c r="U31" s="2">
        <v>2</v>
      </c>
      <c r="V31" s="2">
        <v>2</v>
      </c>
    </row>
    <row r="32" spans="1:24">
      <c r="A32" s="5" t="s">
        <v>21</v>
      </c>
      <c r="B32" s="5" t="s">
        <v>58</v>
      </c>
      <c r="C32" s="2" t="s">
        <v>66</v>
      </c>
      <c r="D32" s="2"/>
      <c r="E32" s="2"/>
      <c r="F32" s="2" t="s">
        <v>108</v>
      </c>
      <c r="G32" s="2" t="s">
        <v>111</v>
      </c>
      <c r="H32" s="2"/>
      <c r="I32" s="2"/>
      <c r="J32" s="2">
        <v>4</v>
      </c>
      <c r="K32" s="2">
        <v>1</v>
      </c>
      <c r="L32" s="2"/>
      <c r="M32" s="2"/>
      <c r="N32" s="2"/>
      <c r="O32" s="2">
        <v>0</v>
      </c>
      <c r="P32" s="2">
        <v>4</v>
      </c>
      <c r="Q32" s="2">
        <f t="shared" ca="1" si="0"/>
        <v>2</v>
      </c>
      <c r="R32" s="2">
        <v>0</v>
      </c>
      <c r="S32" s="2">
        <v>0</v>
      </c>
      <c r="T32" s="2">
        <f t="shared" si="1"/>
        <v>6</v>
      </c>
      <c r="U32" s="2"/>
      <c r="V32" s="2"/>
    </row>
    <row r="33" spans="1:24" ht="45">
      <c r="A33" s="5" t="s">
        <v>21</v>
      </c>
      <c r="B33" s="5" t="s">
        <v>60</v>
      </c>
      <c r="C33" s="2" t="s">
        <v>69</v>
      </c>
      <c r="D33" s="2"/>
      <c r="E33" s="2" t="s">
        <v>103</v>
      </c>
      <c r="F33" s="2" t="s">
        <v>108</v>
      </c>
      <c r="G33" s="2"/>
      <c r="H33" s="2" t="s">
        <v>111</v>
      </c>
      <c r="I33" s="2"/>
      <c r="J33" s="2">
        <v>4</v>
      </c>
      <c r="K33" s="2">
        <v>1</v>
      </c>
      <c r="L33" s="2"/>
      <c r="M33" s="2"/>
      <c r="N33" s="2"/>
      <c r="O33" s="2">
        <v>0</v>
      </c>
      <c r="P33" s="2">
        <v>4</v>
      </c>
      <c r="Q33" s="2">
        <f t="shared" ca="1" si="0"/>
        <v>2</v>
      </c>
      <c r="R33" s="2">
        <v>0</v>
      </c>
      <c r="S33" s="2">
        <v>-1</v>
      </c>
      <c r="T33" s="2">
        <f t="shared" si="1"/>
        <v>5</v>
      </c>
      <c r="U33" s="2"/>
      <c r="V33" s="2"/>
    </row>
    <row r="34" spans="1:24" ht="22.5">
      <c r="A34" s="5" t="s">
        <v>23</v>
      </c>
      <c r="B34" s="5" t="s">
        <v>40</v>
      </c>
      <c r="C34" s="2" t="s">
        <v>78</v>
      </c>
      <c r="D34" s="2"/>
      <c r="E34" s="2"/>
      <c r="F34" s="2" t="s">
        <v>108</v>
      </c>
      <c r="G34" s="2"/>
      <c r="H34" s="2"/>
      <c r="I34" s="2" t="s">
        <v>111</v>
      </c>
      <c r="J34" s="2">
        <v>8</v>
      </c>
      <c r="K34" s="2">
        <v>5</v>
      </c>
      <c r="L34" s="2"/>
      <c r="M34" s="2"/>
      <c r="N34" s="2"/>
      <c r="O34" s="2">
        <v>0</v>
      </c>
      <c r="P34" s="2">
        <v>4</v>
      </c>
      <c r="Q34" s="2">
        <f t="shared" ca="1" si="0"/>
        <v>0</v>
      </c>
      <c r="R34" s="2">
        <v>0</v>
      </c>
      <c r="S34" s="2">
        <v>0</v>
      </c>
      <c r="T34" s="2">
        <f t="shared" si="1"/>
        <v>4</v>
      </c>
      <c r="U34" s="2"/>
      <c r="V34" s="2"/>
    </row>
    <row r="35" spans="1:24" ht="78.75">
      <c r="A35" s="5" t="s">
        <v>21</v>
      </c>
      <c r="B35" s="5" t="s">
        <v>62</v>
      </c>
      <c r="C35" s="2" t="s">
        <v>87</v>
      </c>
      <c r="D35" s="2" t="s">
        <v>100</v>
      </c>
      <c r="E35" s="2"/>
      <c r="F35" s="2" t="s">
        <v>110</v>
      </c>
      <c r="G35" s="2" t="s">
        <v>111</v>
      </c>
      <c r="H35" s="2"/>
      <c r="I35" s="2"/>
      <c r="J35" s="2">
        <v>3</v>
      </c>
      <c r="K35" s="2">
        <v>1</v>
      </c>
      <c r="L35" s="2"/>
      <c r="M35" s="2" t="s">
        <v>60</v>
      </c>
      <c r="N35" s="2" t="s">
        <v>123</v>
      </c>
      <c r="O35" s="2">
        <v>0</v>
      </c>
      <c r="P35" s="2">
        <v>3</v>
      </c>
      <c r="Q35" s="2">
        <f t="shared" ca="1" si="0"/>
        <v>2</v>
      </c>
      <c r="R35" s="2">
        <v>0</v>
      </c>
      <c r="S35" s="2">
        <v>-1</v>
      </c>
      <c r="T35" s="2">
        <f t="shared" si="1"/>
        <v>4</v>
      </c>
      <c r="U35" s="2">
        <v>2</v>
      </c>
      <c r="V35" s="2"/>
      <c r="W35" s="2" t="s">
        <v>60</v>
      </c>
      <c r="X35" s="2">
        <v>4</v>
      </c>
    </row>
    <row r="36" spans="1:24" ht="157.5">
      <c r="A36" s="5" t="s">
        <v>21</v>
      </c>
      <c r="B36" s="5" t="s">
        <v>64</v>
      </c>
      <c r="C36" s="2" t="s">
        <v>91</v>
      </c>
      <c r="D36" s="2" t="s">
        <v>101</v>
      </c>
      <c r="E36" s="2" t="s">
        <v>107</v>
      </c>
      <c r="F36" s="2" t="s">
        <v>108</v>
      </c>
      <c r="G36" s="2" t="s">
        <v>111</v>
      </c>
      <c r="H36" s="2"/>
      <c r="I36" s="2"/>
      <c r="J36" s="2">
        <v>3</v>
      </c>
      <c r="K36" s="2">
        <v>1</v>
      </c>
      <c r="L36" s="2"/>
      <c r="M36" s="2"/>
      <c r="N36" s="2"/>
      <c r="O36" s="2">
        <v>0</v>
      </c>
      <c r="P36" s="2">
        <v>3</v>
      </c>
      <c r="Q36" s="2">
        <f t="shared" ca="1" si="0"/>
        <v>2</v>
      </c>
      <c r="R36" s="2">
        <v>0</v>
      </c>
      <c r="S36" s="2">
        <v>-1</v>
      </c>
      <c r="T36" s="2">
        <f t="shared" si="1"/>
        <v>4</v>
      </c>
      <c r="U36" s="2">
        <v>2</v>
      </c>
      <c r="V36" s="2">
        <v>3</v>
      </c>
    </row>
    <row r="37" spans="1:24" ht="45">
      <c r="A37" s="5" t="s">
        <v>23</v>
      </c>
      <c r="B37" s="5" t="s">
        <v>53</v>
      </c>
      <c r="C37" s="2" t="s">
        <v>88</v>
      </c>
      <c r="D37" s="2"/>
      <c r="E37" s="2" t="s">
        <v>103</v>
      </c>
      <c r="F37" s="2" t="s">
        <v>108</v>
      </c>
      <c r="G37" s="2"/>
      <c r="H37" s="2" t="s">
        <v>111</v>
      </c>
      <c r="I37" s="2" t="s">
        <v>111</v>
      </c>
      <c r="J37" s="2">
        <v>4</v>
      </c>
      <c r="K37" s="2">
        <v>4</v>
      </c>
      <c r="L37" s="2"/>
      <c r="M37" s="2"/>
      <c r="N37" s="2"/>
      <c r="O37" s="2">
        <v>0</v>
      </c>
      <c r="P37" s="2">
        <v>4</v>
      </c>
      <c r="Q37" s="2">
        <f t="shared" ca="1" si="0"/>
        <v>0</v>
      </c>
      <c r="R37" s="2">
        <v>0</v>
      </c>
      <c r="S37" s="2">
        <v>-2</v>
      </c>
      <c r="T37" s="2">
        <f t="shared" si="1"/>
        <v>2</v>
      </c>
      <c r="U37" s="2"/>
      <c r="V37" s="2"/>
    </row>
    <row r="38" spans="1:24" ht="56.25">
      <c r="A38" s="5" t="s">
        <v>23</v>
      </c>
      <c r="B38" s="5" t="s">
        <v>55</v>
      </c>
      <c r="C38" s="2" t="s">
        <v>89</v>
      </c>
      <c r="D38" s="2"/>
      <c r="E38" s="2" t="s">
        <v>125</v>
      </c>
      <c r="F38" s="2" t="s">
        <v>108</v>
      </c>
      <c r="G38" s="2" t="s">
        <v>111</v>
      </c>
      <c r="H38" s="2"/>
      <c r="I38" s="2" t="s">
        <v>111</v>
      </c>
      <c r="J38" s="2">
        <v>4</v>
      </c>
      <c r="K38" s="2">
        <v>3</v>
      </c>
      <c r="L38" s="2"/>
      <c r="M38" s="2"/>
      <c r="N38" s="2"/>
      <c r="O38" s="2">
        <v>0</v>
      </c>
      <c r="P38" s="2">
        <v>4</v>
      </c>
      <c r="Q38" s="2">
        <f t="shared" ca="1" si="0"/>
        <v>0</v>
      </c>
      <c r="R38" s="2">
        <v>0</v>
      </c>
      <c r="S38" s="2">
        <v>-2</v>
      </c>
      <c r="T38" s="2">
        <f t="shared" si="1"/>
        <v>2</v>
      </c>
      <c r="U38" s="2"/>
      <c r="V38" s="2"/>
    </row>
    <row r="39" spans="1:24" ht="101.25">
      <c r="A39" s="5" t="s">
        <v>23</v>
      </c>
      <c r="B39" s="5" t="s">
        <v>54</v>
      </c>
      <c r="C39" s="2" t="s">
        <v>88</v>
      </c>
      <c r="D39" s="2" t="s">
        <v>98</v>
      </c>
      <c r="E39" s="2" t="s">
        <v>104</v>
      </c>
      <c r="F39" s="2" t="s">
        <v>108</v>
      </c>
      <c r="G39" s="2"/>
      <c r="H39" s="2" t="s">
        <v>111</v>
      </c>
      <c r="I39" s="2" t="s">
        <v>111</v>
      </c>
      <c r="J39" s="2">
        <v>4</v>
      </c>
      <c r="K39" s="2">
        <v>4</v>
      </c>
      <c r="L39" s="2"/>
      <c r="M39" s="2"/>
      <c r="N39" s="2"/>
      <c r="O39" s="2">
        <v>0</v>
      </c>
      <c r="P39" s="2">
        <v>4</v>
      </c>
      <c r="Q39" s="2">
        <f t="shared" ca="1" si="0"/>
        <v>0</v>
      </c>
      <c r="R39" s="2">
        <v>0</v>
      </c>
      <c r="S39" s="2">
        <v>-2</v>
      </c>
      <c r="T39" s="2">
        <f t="shared" si="1"/>
        <v>2</v>
      </c>
      <c r="U39" s="2">
        <v>2</v>
      </c>
      <c r="V39" s="2">
        <v>3</v>
      </c>
    </row>
    <row r="40" spans="1:24" ht="56.25">
      <c r="A40" s="5" t="s">
        <v>23</v>
      </c>
      <c r="B40" s="5" t="s">
        <v>57</v>
      </c>
      <c r="C40" s="2" t="s">
        <v>90</v>
      </c>
      <c r="D40" s="2"/>
      <c r="E40" s="2" t="s">
        <v>105</v>
      </c>
      <c r="F40" s="2" t="s">
        <v>108</v>
      </c>
      <c r="G40" s="2" t="s">
        <v>111</v>
      </c>
      <c r="H40" s="2"/>
      <c r="I40" s="2" t="s">
        <v>111</v>
      </c>
      <c r="J40" s="2">
        <v>4</v>
      </c>
      <c r="K40" s="2">
        <v>2</v>
      </c>
      <c r="L40" s="2"/>
      <c r="M40" s="2"/>
      <c r="N40" s="2"/>
      <c r="O40" s="2">
        <v>0</v>
      </c>
      <c r="P40" s="2">
        <v>4</v>
      </c>
      <c r="Q40" s="2">
        <f t="shared" ca="1" si="0"/>
        <v>0</v>
      </c>
      <c r="R40" s="2">
        <v>0</v>
      </c>
      <c r="S40" s="2">
        <v>-2</v>
      </c>
      <c r="T40" s="2">
        <f t="shared" si="1"/>
        <v>2</v>
      </c>
      <c r="U40" s="2"/>
      <c r="V40" s="2"/>
    </row>
    <row r="41" spans="1:24" ht="33.75">
      <c r="A41" s="5" t="s">
        <v>21</v>
      </c>
      <c r="B41" s="5" t="s">
        <v>63</v>
      </c>
      <c r="C41" s="2" t="s">
        <v>69</v>
      </c>
      <c r="D41" s="2"/>
      <c r="E41" s="2" t="s">
        <v>102</v>
      </c>
      <c r="F41" s="2" t="s">
        <v>108</v>
      </c>
      <c r="G41" s="2"/>
      <c r="H41" s="2" t="s">
        <v>111</v>
      </c>
      <c r="I41" s="2"/>
      <c r="J41" s="2">
        <v>4</v>
      </c>
      <c r="K41" s="2">
        <v>1</v>
      </c>
      <c r="L41" s="2"/>
      <c r="M41" s="2"/>
      <c r="N41" s="2"/>
      <c r="O41" s="2">
        <v>0</v>
      </c>
      <c r="P41" s="2">
        <v>4</v>
      </c>
      <c r="Q41" s="2">
        <f t="shared" ca="1" si="0"/>
        <v>0</v>
      </c>
      <c r="R41" s="2">
        <v>0</v>
      </c>
      <c r="S41" s="2">
        <v>-2</v>
      </c>
      <c r="T41" s="2">
        <f t="shared" si="1"/>
        <v>2</v>
      </c>
      <c r="U41" s="2"/>
      <c r="V41" s="2">
        <v>5</v>
      </c>
    </row>
  </sheetData>
  <autoFilter ref="A1:X41"/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FarEdgeDistance</vt:lpstr>
      <vt:lpstr>FarEdgeTarget</vt:lpstr>
      <vt:lpstr>PremiumFactor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</cp:lastModifiedBy>
  <dcterms:created xsi:type="dcterms:W3CDTF">2026-10-25T14:18:09Z</dcterms:created>
  <dcterms:modified xsi:type="dcterms:W3CDTF">2026-10-25T18:05:14Z</dcterms:modified>
</cp:coreProperties>
</file>